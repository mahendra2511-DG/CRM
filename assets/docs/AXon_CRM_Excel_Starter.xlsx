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w_Leads" sheetId="2" state="visible" r:id="rId4"/>
    <sheet name="Raw_Opportunitie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Delete these example rows and paste your real staging-layer fact_lead export here, starting at row 2. Keep the column order identical to this header row.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Delete these example rows and paste your real staging-layer fact_opportunity export here, starting at row 2. Keep the column order identical to this header row.</t>
        </r>
      </text>
    </comment>
  </commentList>
</comments>
</file>

<file path=xl/sharedStrings.xml><?xml version="1.0" encoding="utf-8"?>
<sst xmlns="http://schemas.openxmlformats.org/spreadsheetml/2006/main" count="62" uniqueCount="54">
  <si>
    <t xml:space="preserve">Axon CRM Analytics — Excel Starter Template</t>
  </si>
  <si>
    <t xml:space="preserve">A ready-to-use Excel workbook with live formulas for this capstone project's Lead &amp; Opportunity KPIs.</t>
  </si>
  <si>
    <t xml:space="preserve">1. Go to 'Raw_Leads' and 'Raw_Opportunities'. Delete the example rows (format guides only) and paste your real staging-layer exports starting at row 2, keeping the same column order.</t>
  </si>
  <si>
    <t xml:space="preserve">2. Go to the 'Dashboard' tab — every KPI recalculates automatically using SUMIFS/COUNTIFS formulas. Nothing there needs manual editing.</t>
  </si>
  <si>
    <t xml:space="preserve">3. Every formula filters WHERE Deleted = "False" — soft-deleted rows are present in the raw export and must be excluded from every KPI, exactly as covered in the site's Data Model tab.</t>
  </si>
  <si>
    <t xml:space="preserve">4. Win Rate and Loss Rate are scoped to CLOSED deals only (Won=1 OR Closed_Lost_Reason is not blank) — Opportunity Conversion Rate uses ALL opportunities as its denominator instead. See the KPI List tab's comparison table for why these read differently.</t>
  </si>
  <si>
    <t xml:space="preserve">5. This is a starting point for your own Excel dashboard, not a replacement for building your own pivot tables and charts — add those on top of the Dashboard tab's numbers.</t>
  </si>
  <si>
    <t xml:space="preserve">Lead_ID</t>
  </si>
  <si>
    <t xml:space="preserve">Status</t>
  </si>
  <si>
    <t xml:space="preserve">Is_Converted</t>
  </si>
  <si>
    <t xml:space="preserve">Lead_Score</t>
  </si>
  <si>
    <t xml:space="preserve">Converted_Account_ID</t>
  </si>
  <si>
    <t xml:space="preserve">Converted_Opportunity_ID</t>
  </si>
  <si>
    <t xml:space="preserve">Deleted</t>
  </si>
  <si>
    <t xml:space="preserve">L00001</t>
  </si>
  <si>
    <t xml:space="preserve">Nurturing</t>
  </si>
  <si>
    <t xml:space="preserve">False</t>
  </si>
  <si>
    <t xml:space="preserve">L00002</t>
  </si>
  <si>
    <t xml:space="preserve">Converted</t>
  </si>
  <si>
    <t xml:space="preserve">A00045</t>
  </si>
  <si>
    <t xml:space="preserve">O00012</t>
  </si>
  <si>
    <t xml:space="preserve">L00003</t>
  </si>
  <si>
    <t xml:space="preserve">Disqualified</t>
  </si>
  <si>
    <t xml:space="preserve">Opportunity_ID</t>
  </si>
  <si>
    <t xml:space="preserve">Amount</t>
  </si>
  <si>
    <t xml:space="preserve">Expected_Amount</t>
  </si>
  <si>
    <t xml:space="preserve">Won</t>
  </si>
  <si>
    <t xml:space="preserve">Closed_Lost_Reason</t>
  </si>
  <si>
    <t xml:space="preserve">Stage_Group</t>
  </si>
  <si>
    <t xml:space="preserve">O00013</t>
  </si>
  <si>
    <t xml:space="preserve">Qualified</t>
  </si>
  <si>
    <t xml:space="preserve">O00014</t>
  </si>
  <si>
    <t xml:space="preserve">Non Responsive</t>
  </si>
  <si>
    <t xml:space="preserve">Lost</t>
  </si>
  <si>
    <t xml:space="preserve">Lead &amp; Opportunity KPIs</t>
  </si>
  <si>
    <t xml:space="preserve">All values below are live formulas reading from Raw_Leads and Raw_Opportunities — paste your data there and these update automatically.</t>
  </si>
  <si>
    <t xml:space="preserve">Lead KPIs</t>
  </si>
  <si>
    <t xml:space="preserve">Total Leads</t>
  </si>
  <si>
    <t xml:space="preserve">Converted Leads</t>
  </si>
  <si>
    <t xml:space="preserve">Lead Conversion Rate % (Converted ÷ Total Leads)</t>
  </si>
  <si>
    <t xml:space="preserve">Avg Lead Score (excludes blank scores)</t>
  </si>
  <si>
    <t xml:space="preserve">Opportunity KPIs</t>
  </si>
  <si>
    <t xml:space="preserve">Total Opportunities</t>
  </si>
  <si>
    <t xml:space="preserve">Won Opportunities</t>
  </si>
  <si>
    <t xml:space="preserve">Lost Opportunities</t>
  </si>
  <si>
    <t xml:space="preserve">Win Rate % (Won ÷ (Won + Lost) — closed deals only)</t>
  </si>
  <si>
    <t xml:space="preserve">Loss Rate % (Lost ÷ (Won + Lost) — closed deals only)</t>
  </si>
  <si>
    <t xml:space="preserve">Opportunity Conversion Rate % (Won ÷ ALL Opportunities)</t>
  </si>
  <si>
    <t xml:space="preserve">Revenue KPIs</t>
  </si>
  <si>
    <t xml:space="preserve">Total Won Revenue</t>
  </si>
  <si>
    <t xml:space="preserve">Total Expected Amount (all opportunities)</t>
  </si>
  <si>
    <t xml:space="preserve">Expected Amount — Won opportunities</t>
  </si>
  <si>
    <t xml:space="preserve">Expected Amount — Lost opportunities</t>
  </si>
  <si>
    <t xml:space="preserve">Expected Pipeline Value (open opportunities only)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</si>
</sst>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5A8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0A5A8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86C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6C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A5A8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</row>
    <row r="6" customFormat="false" ht="33.75" hidden="false" customHeight="true" outlineLevel="0" collapsed="false">
      <c r="B6" s="3" t="s">
        <v>3</v>
      </c>
    </row>
    <row r="7" customFormat="false" ht="33.75" hidden="false" customHeight="true" outlineLevel="0" collapsed="false">
      <c r="B7" s="3" t="s">
        <v>4</v>
      </c>
    </row>
    <row r="8" customFormat="false" ht="33.75" hidden="false" customHeight="true" outlineLevel="0" collapsed="false">
      <c r="B8" s="3" t="s">
        <v>5</v>
      </c>
    </row>
    <row r="9" customFormat="false" ht="33.75" hidden="false" customHeight="true" outlineLevel="0" collapsed="false">
      <c r="B9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5" t="s">
        <v>14</v>
      </c>
      <c r="B2" s="5" t="s">
        <v>15</v>
      </c>
      <c r="C2" s="5" t="n">
        <v>0</v>
      </c>
      <c r="D2" s="5" t="n">
        <v>62</v>
      </c>
      <c r="E2" s="5"/>
      <c r="F2" s="5"/>
      <c r="G2" s="5" t="s">
        <v>16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 t="n">
        <v>1</v>
      </c>
      <c r="D3" s="5" t="n">
        <v>78</v>
      </c>
      <c r="E3" s="5" t="s">
        <v>19</v>
      </c>
      <c r="F3" s="5" t="s">
        <v>20</v>
      </c>
      <c r="G3" s="5" t="s">
        <v>16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n">
        <v>0</v>
      </c>
      <c r="D4" s="5"/>
      <c r="E4" s="5"/>
      <c r="F4" s="5"/>
      <c r="G4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13</v>
      </c>
    </row>
    <row r="2" customFormat="false" ht="15" hidden="false" customHeight="false" outlineLevel="0" collapsed="false">
      <c r="A2" s="5" t="s">
        <v>20</v>
      </c>
      <c r="B2" s="5" t="n">
        <v>54805</v>
      </c>
      <c r="C2" s="5" t="n">
        <v>54805</v>
      </c>
      <c r="D2" s="5" t="n">
        <v>1</v>
      </c>
      <c r="E2" s="5"/>
      <c r="F2" s="5" t="s">
        <v>26</v>
      </c>
      <c r="G2" s="5" t="s">
        <v>16</v>
      </c>
    </row>
    <row r="3" customFormat="false" ht="15" hidden="false" customHeight="false" outlineLevel="0" collapsed="false">
      <c r="A3" s="5" t="s">
        <v>29</v>
      </c>
      <c r="B3" s="5" t="n">
        <v>18200</v>
      </c>
      <c r="C3" s="5" t="n">
        <v>9100</v>
      </c>
      <c r="D3" s="5" t="n">
        <v>0</v>
      </c>
      <c r="E3" s="5"/>
      <c r="F3" s="5" t="s">
        <v>30</v>
      </c>
      <c r="G3" s="5" t="s">
        <v>16</v>
      </c>
    </row>
    <row r="4" customFormat="false" ht="15" hidden="false" customHeight="false" outlineLevel="0" collapsed="false">
      <c r="A4" s="5" t="s">
        <v>31</v>
      </c>
      <c r="B4" s="5" t="n">
        <v>7400</v>
      </c>
      <c r="C4" s="5" t="n">
        <v>0</v>
      </c>
      <c r="D4" s="5" t="n">
        <v>0</v>
      </c>
      <c r="E4" s="5" t="s">
        <v>32</v>
      </c>
      <c r="F4" s="5" t="s">
        <v>33</v>
      </c>
      <c r="G4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3" min="3" style="0" width="3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" t="s">
        <v>34</v>
      </c>
    </row>
    <row r="3" customFormat="false" ht="15" hidden="false" customHeight="false" outlineLevel="0" collapsed="false">
      <c r="B3" s="2" t="s">
        <v>35</v>
      </c>
    </row>
    <row r="5" customFormat="false" ht="15" hidden="false" customHeight="false" outlineLevel="0" collapsed="false">
      <c r="B5" s="6" t="s">
        <v>36</v>
      </c>
    </row>
    <row r="6" customFormat="false" ht="17.35" hidden="false" customHeight="false" outlineLevel="0" collapsed="false">
      <c r="B6" s="7" t="s">
        <v>37</v>
      </c>
      <c r="D6" s="8" t="n">
        <f aca="false">COUNTIFS(Raw_Leads!A2:A100000,"&lt;&gt;",Raw_Leads!G2:G100000,"False")</f>
        <v>3</v>
      </c>
    </row>
    <row r="7" customFormat="false" ht="17.35" hidden="false" customHeight="false" outlineLevel="0" collapsed="false">
      <c r="B7" s="7" t="s">
        <v>38</v>
      </c>
      <c r="D7" s="8" t="n">
        <f aca="false">COUNTIFS(Raw_Leads!C2:C100000,1,Raw_Leads!G2:G100000,"False")</f>
        <v>1</v>
      </c>
    </row>
    <row r="8" customFormat="false" ht="17.35" hidden="false" customHeight="false" outlineLevel="0" collapsed="false">
      <c r="B8" s="7" t="s">
        <v>39</v>
      </c>
      <c r="D8" s="9" t="n">
        <f aca="false">D7/D6*100</f>
        <v>33.3333333333333</v>
      </c>
    </row>
    <row r="9" customFormat="false" ht="17.35" hidden="false" customHeight="false" outlineLevel="0" collapsed="false">
      <c r="B9" s="7" t="s">
        <v>40</v>
      </c>
      <c r="D9" s="9" t="n">
        <f aca="false">AVERAGE(Raw_Leads!D2:D100000)</f>
        <v>70</v>
      </c>
    </row>
    <row r="11" customFormat="false" ht="15" hidden="false" customHeight="false" outlineLevel="0" collapsed="false">
      <c r="B11" s="6" t="s">
        <v>41</v>
      </c>
    </row>
    <row r="12" customFormat="false" ht="17.35" hidden="false" customHeight="false" outlineLevel="0" collapsed="false">
      <c r="B12" s="7" t="s">
        <v>42</v>
      </c>
      <c r="D12" s="8" t="n">
        <f aca="false">COUNTIFS(Raw_Opportunities!A2:A100000,"&lt;&gt;",Raw_Opportunities!G2:G100000,"False")</f>
        <v>3</v>
      </c>
    </row>
    <row r="13" customFormat="false" ht="17.35" hidden="false" customHeight="false" outlineLevel="0" collapsed="false">
      <c r="B13" s="7" t="s">
        <v>43</v>
      </c>
      <c r="D13" s="8" t="n">
        <f aca="false">COUNTIFS(Raw_Opportunities!D2:D100000,1,Raw_Opportunities!G2:G100000,"False")</f>
        <v>1</v>
      </c>
    </row>
    <row r="14" customFormat="false" ht="17.35" hidden="false" customHeight="false" outlineLevel="0" collapsed="false">
      <c r="B14" s="7" t="s">
        <v>44</v>
      </c>
      <c r="D14" s="8" t="n">
        <f aca="false">COUNTIFS(Raw_Opportunities!E2:E100000,"&lt;&gt;",Raw_Opportunities!G2:G100000,"False")-COUNTIFS(Raw_Opportunities!E2:E100000,"",Raw_Opportunities!G2:G100000,"False")</f>
        <v>1</v>
      </c>
    </row>
    <row r="15" customFormat="false" ht="17.35" hidden="false" customHeight="false" outlineLevel="0" collapsed="false">
      <c r="B15" s="7" t="s">
        <v>45</v>
      </c>
      <c r="D15" s="9" t="n">
        <f aca="false">D13/(D13+D14)*100</f>
        <v>50</v>
      </c>
    </row>
    <row r="16" customFormat="false" ht="17.35" hidden="false" customHeight="false" outlineLevel="0" collapsed="false">
      <c r="B16" s="7" t="s">
        <v>46</v>
      </c>
      <c r="D16" s="9" t="n">
        <f aca="false">D14/(D13+D14)*100</f>
        <v>50</v>
      </c>
    </row>
    <row r="17" customFormat="false" ht="17.35" hidden="false" customHeight="false" outlineLevel="0" collapsed="false">
      <c r="B17" s="7" t="s">
        <v>47</v>
      </c>
      <c r="D17" s="9" t="n">
        <f aca="false">D13/D12*100</f>
        <v>33.3333333333333</v>
      </c>
    </row>
    <row r="19" customFormat="false" ht="15" hidden="false" customHeight="false" outlineLevel="0" collapsed="false">
      <c r="B19" s="6" t="s">
        <v>48</v>
      </c>
    </row>
    <row r="20" customFormat="false" ht="17.35" hidden="false" customHeight="false" outlineLevel="0" collapsed="false">
      <c r="B20" s="7" t="s">
        <v>49</v>
      </c>
      <c r="D20" s="10" t="n">
        <f aca="false">SUMIFS(Raw_Opportunities!B2:B100000,Raw_Opportunities!D2:D100000,1,Raw_Opportunities!G2:G100000,"False")</f>
        <v>54805</v>
      </c>
    </row>
    <row r="21" customFormat="false" ht="17.35" hidden="false" customHeight="false" outlineLevel="0" collapsed="false">
      <c r="B21" s="7" t="s">
        <v>50</v>
      </c>
      <c r="D21" s="10" t="n">
        <f aca="false">SUMIFS(Raw_Opportunities!C2:C100000,Raw_Opportunities!G2:G100000,"False")</f>
        <v>63905</v>
      </c>
    </row>
    <row r="22" customFormat="false" ht="17.35" hidden="false" customHeight="false" outlineLevel="0" collapsed="false">
      <c r="B22" s="7" t="s">
        <v>51</v>
      </c>
      <c r="D22" s="10" t="n">
        <f aca="false">SUMIFS(Raw_Opportunities!C2:C100000,Raw_Opportunities!D2:D100000,1,Raw_Opportunities!G2:G100000,"False")</f>
        <v>54805</v>
      </c>
    </row>
    <row r="23" customFormat="false" ht="17.35" hidden="false" customHeight="false" outlineLevel="0" collapsed="false">
      <c r="B23" s="7" t="s">
        <v>52</v>
      </c>
      <c r="D23" s="10" t="n">
        <f aca="false">SUMIFS(Raw_Opportunities!C2:C100000,Raw_Opportunities!F2:F100000,"Lost",Raw_Opportunities!G2:G100000,"False")</f>
        <v>0</v>
      </c>
    </row>
    <row r="24" customFormat="false" ht="17.35" hidden="false" customHeight="false" outlineLevel="0" collapsed="false">
      <c r="B24" s="7" t="s">
        <v>53</v>
      </c>
      <c r="D24" s="10" t="n">
        <f aca="false">D21-D22-D23</f>
        <v>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2026-09-05T12:28:37Z</dcterms:created>
  <dc:creator>openpyxl</dc:creator>
  <dc:description/>
  <dc:language>en-US</dc:language>
  <cp:lastModifiedBy/>
  <dcterms:modified xsi:type="dcterms:W3CDTF">2026-09-05T12:28:55Z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
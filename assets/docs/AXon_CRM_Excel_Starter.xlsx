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aw_Leads" sheetId="2" state="visible" r:id="rId2"/>
    <sheet xmlns:r="http://schemas.openxmlformats.org/officeDocument/2006/relationships" name="Raw_Opportunities" sheetId="3" state="visible" r:id="rId3"/>
    <sheet xmlns:r="http://schemas.openxmlformats.org/officeDocument/2006/relationships" name="Dashboard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5A87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1"/>
    </font>
    <font>
      <name val="Arial"/>
      <family val="2"/>
      <sz val="10"/>
    </font>
    <font>
      <name val="Arial"/>
      <charset val="1"/>
      <family val="0"/>
      <b val="1"/>
      <color rgb="FF0A5A87"/>
      <sz val="12"/>
    </font>
  </fonts>
  <fills count="3">
    <fill>
      <patternFill/>
    </fill>
    <fill>
      <patternFill patternType="gray125"/>
    </fill>
    <fill>
      <patternFill patternType="solid">
        <fgColor rgb="FF0E86C9"/>
        <bgColor rgb="FF00808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4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4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86C9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A5A87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Delete these example rows and paste your real staging-layer fact_lead export here, starting at row 2. Keep the column order identical to this header row.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" authorId="0" shapeId="0">
      <text>
        <t>Delete these example rows and paste your real staging-layer fact_opportunity export here, starting at row 2. Keep the column order identical to this header row.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11" min="1" max="1"/>
    <col width="112" customWidth="1" style="11" min="2" max="2"/>
  </cols>
  <sheetData>
    <row r="1"/>
    <row r="2" ht="17.35" customHeight="1" s="12">
      <c r="B2" s="13" t="inlineStr">
        <is>
          <t>Axon CRM Analytics — Excel Starter Template</t>
        </is>
      </c>
    </row>
    <row r="3" ht="15" customHeight="1" s="12">
      <c r="B3" s="14" t="inlineStr">
        <is>
          <t>A ready-to-use Excel workbook with live formulas for this capstone project's Lead &amp; Opportunity KPIs.</t>
        </is>
      </c>
    </row>
    <row r="4"/>
    <row r="5" ht="33.75" customHeight="1" s="12">
      <c r="B5" s="15" t="inlineStr">
        <is>
          <t>1. Go to 'Raw_Leads' and 'Raw_Opportunities'. Delete the example rows (format guides only) and paste your real staging-layer exports starting at row 2, keeping the same column order.</t>
        </is>
      </c>
    </row>
    <row r="6" ht="33.75" customHeight="1" s="12">
      <c r="B6" s="15" t="inlineStr">
        <is>
          <t>2. Go to the 'Dashboard' tab — every KPI recalculates automatically using SUMIFS/COUNTIFS formulas. Nothing there needs manual editing.</t>
        </is>
      </c>
    </row>
    <row r="7" ht="33.75" customHeight="1" s="12">
      <c r="B7" s="15" t="inlineStr">
        <is>
          <t>3. Every formula filters Deleted = "False". In this export no rows are deleted, but keep the filter for future refreshes.</t>
        </is>
      </c>
    </row>
    <row r="8" ht="33.75" customHeight="1" s="12">
      <c r="B8" s="15" t="inlineStr">
        <is>
          <t>4. Win Rate and Loss Rate are scoped to CLOSED deals only (Stage_Group = "Won" or "Lost"). Don't use Closed_Lost_Reason to find lost deals: 293 lost deals have no reason. Opportunity Conversion Rate divides by ALL opportunities.</t>
        </is>
      </c>
    </row>
    <row r="9" ht="33.75" customHeight="1" s="12">
      <c r="B9" s="15" t="inlineStr">
        <is>
          <t>5. This is a starting point for your own Excel dashboard, not a replacement for building your own pivot tables and charts — add those on top of the Dashboard tab's numbers.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1" min="1" max="7"/>
  </cols>
  <sheetData>
    <row r="1" ht="15" customHeight="1" s="12">
      <c r="A1" s="16" t="inlineStr">
        <is>
          <t>Lead_ID</t>
        </is>
      </c>
      <c r="B1" s="16" t="inlineStr">
        <is>
          <t>Status</t>
        </is>
      </c>
      <c r="C1" s="16" t="inlineStr">
        <is>
          <t>Is_Converted</t>
        </is>
      </c>
      <c r="D1" s="16" t="inlineStr">
        <is>
          <t>Lead_Score</t>
        </is>
      </c>
      <c r="E1" s="16" t="inlineStr">
        <is>
          <t>Converted_Account_ID</t>
        </is>
      </c>
      <c r="F1" s="16" t="inlineStr">
        <is>
          <t>Converted_Opportunity_ID</t>
        </is>
      </c>
      <c r="G1" s="16" t="inlineStr">
        <is>
          <t>Deleted</t>
        </is>
      </c>
    </row>
    <row r="2" ht="15" customHeight="1" s="12">
      <c r="A2" s="17" t="inlineStr">
        <is>
          <t>L00001</t>
        </is>
      </c>
      <c r="B2" s="17" t="inlineStr">
        <is>
          <t>Nurturing</t>
        </is>
      </c>
      <c r="C2" s="17" t="n">
        <v>0</v>
      </c>
      <c r="D2" s="17" t="n">
        <v>62</v>
      </c>
      <c r="E2" s="17" t="n"/>
      <c r="F2" s="17" t="n"/>
      <c r="G2" s="17" t="inlineStr">
        <is>
          <t>False</t>
        </is>
      </c>
    </row>
    <row r="3" ht="15" customHeight="1" s="12">
      <c r="A3" s="17" t="inlineStr">
        <is>
          <t>L00002</t>
        </is>
      </c>
      <c r="B3" s="17" t="inlineStr">
        <is>
          <t>Converted</t>
        </is>
      </c>
      <c r="C3" s="17" t="n">
        <v>1</v>
      </c>
      <c r="D3" s="17" t="n">
        <v>78</v>
      </c>
      <c r="E3" s="17" t="inlineStr">
        <is>
          <t>A00045</t>
        </is>
      </c>
      <c r="F3" s="17" t="inlineStr">
        <is>
          <t>O00012</t>
        </is>
      </c>
      <c r="G3" s="17" t="inlineStr">
        <is>
          <t>False</t>
        </is>
      </c>
    </row>
    <row r="4" ht="15" customHeight="1" s="12">
      <c r="A4" s="17" t="inlineStr">
        <is>
          <t>L00003</t>
        </is>
      </c>
      <c r="B4" s="17" t="inlineStr">
        <is>
          <t>Disqualified</t>
        </is>
      </c>
      <c r="C4" s="17" t="n">
        <v>0</v>
      </c>
      <c r="D4" s="17" t="n"/>
      <c r="E4" s="17" t="n"/>
      <c r="F4" s="17" t="n"/>
      <c r="G4" s="17" t="inlineStr">
        <is>
          <t>False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1" min="1" max="7"/>
  </cols>
  <sheetData>
    <row r="1" ht="15" customHeight="1" s="12">
      <c r="A1" s="16" t="inlineStr">
        <is>
          <t>Opportunity_ID</t>
        </is>
      </c>
      <c r="B1" s="16" t="inlineStr">
        <is>
          <t>Amount</t>
        </is>
      </c>
      <c r="C1" s="16" t="inlineStr">
        <is>
          <t>Expected_Amount</t>
        </is>
      </c>
      <c r="D1" s="16" t="inlineStr">
        <is>
          <t>Won</t>
        </is>
      </c>
      <c r="E1" s="16" t="inlineStr">
        <is>
          <t>Closed_Lost_Reason</t>
        </is>
      </c>
      <c r="F1" s="16" t="inlineStr">
        <is>
          <t>Stage_Group</t>
        </is>
      </c>
      <c r="G1" s="16" t="inlineStr">
        <is>
          <t>Deleted</t>
        </is>
      </c>
    </row>
    <row r="2" ht="15" customHeight="1" s="12">
      <c r="A2" s="17" t="inlineStr">
        <is>
          <t>O00012</t>
        </is>
      </c>
      <c r="B2" s="17" t="n">
        <v>54805</v>
      </c>
      <c r="C2" s="17" t="n">
        <v>54805</v>
      </c>
      <c r="D2" s="17" t="n">
        <v>1</v>
      </c>
      <c r="E2" s="17" t="n"/>
      <c r="F2" s="17" t="inlineStr">
        <is>
          <t>Won</t>
        </is>
      </c>
      <c r="G2" s="17" t="inlineStr">
        <is>
          <t>False</t>
        </is>
      </c>
    </row>
    <row r="3" ht="15" customHeight="1" s="12">
      <c r="A3" s="17" t="inlineStr">
        <is>
          <t>O00013</t>
        </is>
      </c>
      <c r="B3" s="17" t="n">
        <v>18200</v>
      </c>
      <c r="C3" s="17" t="n">
        <v>9100</v>
      </c>
      <c r="D3" s="17" t="n">
        <v>0</v>
      </c>
      <c r="E3" s="17" t="n"/>
      <c r="F3" s="17" t="inlineStr">
        <is>
          <t>Qualified</t>
        </is>
      </c>
      <c r="G3" s="17" t="inlineStr">
        <is>
          <t>False</t>
        </is>
      </c>
    </row>
    <row r="4" ht="15" customHeight="1" s="12">
      <c r="A4" s="17" t="inlineStr">
        <is>
          <t>O00014</t>
        </is>
      </c>
      <c r="B4" s="17" t="n">
        <v>7400</v>
      </c>
      <c r="C4" s="17" t="n">
        <v>0</v>
      </c>
      <c r="D4" s="17" t="n">
        <v>0</v>
      </c>
      <c r="E4" s="17" t="inlineStr">
        <is>
          <t>Non Responsive</t>
        </is>
      </c>
      <c r="F4" s="17" t="inlineStr">
        <is>
          <t>Lost</t>
        </is>
      </c>
      <c r="G4" s="17" t="inlineStr">
        <is>
          <t>False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11" min="1" max="1"/>
    <col width="56" customWidth="1" style="11" min="2" max="2"/>
    <col width="3" customWidth="1" style="11" min="3" max="3"/>
    <col width="16" customWidth="1" style="11" min="4" max="4"/>
  </cols>
  <sheetData>
    <row r="1"/>
    <row r="2" ht="17.35" customHeight="1" s="12">
      <c r="B2" s="13" t="inlineStr">
        <is>
          <t>Lead &amp; Opportunity KPIs</t>
        </is>
      </c>
    </row>
    <row r="3" ht="15" customHeight="1" s="12">
      <c r="B3" s="14" t="inlineStr">
        <is>
          <t>All values below are live formulas reading from Raw_Leads and Raw_Opportunities — paste your data there and these update automatically.</t>
        </is>
      </c>
    </row>
    <row r="4"/>
    <row r="5" ht="15" customHeight="1" s="12">
      <c r="B5" s="18" t="inlineStr">
        <is>
          <t>Lead KPIs</t>
        </is>
      </c>
    </row>
    <row r="6" ht="17.35" customHeight="1" s="12">
      <c r="B6" s="19" t="inlineStr">
        <is>
          <t>Total Leads</t>
        </is>
      </c>
      <c r="D6" s="20">
        <f>COUNTIFS(Raw_Leads!A2:A100000,"&lt;&gt;",Raw_Leads!G2:G100000,"False")</f>
        <v/>
      </c>
    </row>
    <row r="7" ht="17.35" customHeight="1" s="12">
      <c r="B7" s="19" t="inlineStr">
        <is>
          <t>Converted Leads</t>
        </is>
      </c>
      <c r="D7" s="20">
        <f>COUNTIFS(Raw_Leads!C2:C100000,1,Raw_Leads!G2:G100000,"False")</f>
        <v/>
      </c>
    </row>
    <row r="8" ht="17.35" customHeight="1" s="12">
      <c r="B8" s="19" t="inlineStr">
        <is>
          <t>Lead Conversion Rate % (Converted ÷ Total Leads)</t>
        </is>
      </c>
      <c r="D8" s="21">
        <f>D7/D6*100</f>
        <v/>
      </c>
    </row>
    <row r="9" ht="17.35" customHeight="1" s="12">
      <c r="B9" s="19" t="inlineStr">
        <is>
          <t>Avg Lead Score (excludes blank scores)</t>
        </is>
      </c>
      <c r="D9" s="21">
        <f>AVERAGE(Raw_Leads!D2:D100000)</f>
        <v/>
      </c>
    </row>
    <row r="10"/>
    <row r="11" ht="15" customHeight="1" s="12">
      <c r="B11" s="18" t="inlineStr">
        <is>
          <t>Opportunity KPIs</t>
        </is>
      </c>
    </row>
    <row r="12" ht="17.35" customHeight="1" s="12">
      <c r="B12" s="19" t="inlineStr">
        <is>
          <t>Total Opportunities</t>
        </is>
      </c>
      <c r="D12" s="20">
        <f>COUNTIFS(Raw_Opportunities!A2:A100000,"&lt;&gt;",Raw_Opportunities!G2:G100000,"False")</f>
        <v/>
      </c>
    </row>
    <row r="13" ht="17.35" customHeight="1" s="12">
      <c r="B13" s="19" t="inlineStr">
        <is>
          <t>Won Opportunities</t>
        </is>
      </c>
      <c r="D13" s="20">
        <f>COUNTIFS(Raw_Opportunities!D2:D100000,1,Raw_Opportunities!G2:G100000,"False")</f>
        <v/>
      </c>
    </row>
    <row r="14" ht="17.35" customHeight="1" s="12">
      <c r="B14" s="19" t="inlineStr">
        <is>
          <t>Lost Opportunities (Stage_Group = "Lost")</t>
        </is>
      </c>
      <c r="D14" s="20">
        <f>COUNTIFS(Raw_Opportunities!F2:F100000,"Lost",Raw_Opportunities!G2:G100000,"False")</f>
        <v/>
      </c>
    </row>
    <row r="15" ht="17.35" customHeight="1" s="12">
      <c r="B15" s="19" t="inlineStr">
        <is>
          <t>Win Rate % (Won ÷ (Won + Lost) — closed deals only)</t>
        </is>
      </c>
      <c r="D15" s="21">
        <f>D13/(D13+D14)*100</f>
        <v/>
      </c>
    </row>
    <row r="16" ht="17.35" customHeight="1" s="12">
      <c r="B16" s="19" t="inlineStr">
        <is>
          <t>Loss Rate % (Lost ÷ (Won + Lost) — closed deals only)</t>
        </is>
      </c>
      <c r="D16" s="21">
        <f>D14/(D13+D14)*100</f>
        <v/>
      </c>
    </row>
    <row r="17" ht="17.35" customHeight="1" s="12">
      <c r="B17" s="19" t="inlineStr">
        <is>
          <t>Opportunity Conversion Rate % (Won ÷ ALL Opportunities)</t>
        </is>
      </c>
      <c r="D17" s="21">
        <f>D13/D12*100</f>
        <v/>
      </c>
    </row>
    <row r="18"/>
    <row r="19" ht="15" customHeight="1" s="12">
      <c r="B19" s="18" t="inlineStr">
        <is>
          <t>Revenue KPIs</t>
        </is>
      </c>
    </row>
    <row r="20" ht="17.35" customHeight="1" s="12">
      <c r="B20" s="19" t="inlineStr">
        <is>
          <t>Total Won Revenue</t>
        </is>
      </c>
      <c r="D20" s="22">
        <f>SUMIFS(Raw_Opportunities!B2:B100000,Raw_Opportunities!D2:D100000,1,Raw_Opportunities!G2:G100000,"False")</f>
        <v/>
      </c>
    </row>
    <row r="21" ht="17.35" customHeight="1" s="12">
      <c r="B21" s="19" t="inlineStr">
        <is>
          <t>Total Expected Amount (all opportunities)</t>
        </is>
      </c>
      <c r="D21" s="22">
        <f>SUMIFS(Raw_Opportunities!C2:C100000,Raw_Opportunities!G2:G100000,"False")</f>
        <v/>
      </c>
    </row>
    <row r="22" ht="17.35" customHeight="1" s="12">
      <c r="B22" s="19" t="inlineStr">
        <is>
          <t>Expected Amount — Won opportunities</t>
        </is>
      </c>
      <c r="D22" s="22">
        <f>SUMIFS(Raw_Opportunities!C2:C100000,Raw_Opportunities!D2:D100000,1,Raw_Opportunities!G2:G100000,"False")</f>
        <v/>
      </c>
    </row>
    <row r="23" ht="17.35" customHeight="1" s="12">
      <c r="B23" s="19" t="inlineStr">
        <is>
          <t>Expected Amount — Lost opportunities</t>
        </is>
      </c>
      <c r="D23" s="22">
        <f>SUMIFS(Raw_Opportunities!C2:C100000,Raw_Opportunities!F2:F100000,"Lost",Raw_Opportunities!G2:G100000,"False")</f>
        <v/>
      </c>
    </row>
    <row r="24" ht="17.35" customHeight="1" s="12">
      <c r="B24" s="19" t="inlineStr">
        <is>
          <t>Expected Pipeline Value (open opportunities only)</t>
        </is>
      </c>
      <c r="D24" s="22">
        <f>D21-D22-D23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2026-09-05T12:28:37Z</dcterms:created>
  <dcterms:modified xmlns:dcterms="http://purl.org/dc/terms/" xmlns:xsi="http://www.w3.org/2001/XMLSchema-instance" xsi:type="dcterms:W3CDTF">2026-10-03T04:14:11Z</dcterms:modified>
  <cp:revision>0</cp:revision>
</cp:coreProperties>
</file>